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lio\Documents\MCT\AJ2025-2026\bachelorproef\thesis_research\plan\phase3\"/>
    </mc:Choice>
  </mc:AlternateContent>
  <xr:revisionPtr revIDLastSave="0" documentId="13_ncr:1_{08A337E0-9E97-4309-BA77-5BF3B9B313E4}" xr6:coauthVersionLast="47" xr6:coauthVersionMax="47" xr10:uidLastSave="{00000000-0000-0000-0000-000000000000}"/>
  <bookViews>
    <workbookView xWindow="-96" yWindow="0" windowWidth="11712" windowHeight="12336" activeTab="1" xr2:uid="{5E0614B8-F26E-4086-B04C-44636B2E8DE9}"/>
  </bookViews>
  <sheets>
    <sheet name="Sheet1" sheetId="1" r:id="rId1"/>
    <sheet name="tim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9" i="2" l="1"/>
  <c r="E11" i="2"/>
  <c r="E10" i="2"/>
  <c r="E9" i="2"/>
  <c r="E3" i="2"/>
  <c r="E4" i="2"/>
  <c r="E5" i="2"/>
  <c r="E6" i="2"/>
  <c r="E7" i="2"/>
  <c r="E2" i="2"/>
</calcChain>
</file>

<file path=xl/sharedStrings.xml><?xml version="1.0" encoding="utf-8"?>
<sst xmlns="http://schemas.openxmlformats.org/spreadsheetml/2006/main" count="58" uniqueCount="22">
  <si>
    <t>m3</t>
  </si>
  <si>
    <t>m1</t>
  </si>
  <si>
    <t>m2</t>
  </si>
  <si>
    <t>Methodology</t>
  </si>
  <si>
    <t>Stack</t>
  </si>
  <si>
    <t>nextjs</t>
  </si>
  <si>
    <t>blazor</t>
  </si>
  <si>
    <t>Security Issues</t>
  </si>
  <si>
    <t>Reliability Issues</t>
  </si>
  <si>
    <t>Maintainability Issues</t>
  </si>
  <si>
    <t>-</t>
  </si>
  <si>
    <t>Responsibility</t>
  </si>
  <si>
    <t>Consistency</t>
  </si>
  <si>
    <t>Intentionality</t>
  </si>
  <si>
    <t>methodology</t>
  </si>
  <si>
    <t>stack</t>
  </si>
  <si>
    <t>plan time</t>
  </si>
  <si>
    <t>execution time</t>
  </si>
  <si>
    <t>total time</t>
  </si>
  <si>
    <t>avg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</si>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</sst>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m:ss.00"/>
  </numFmts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8B400"/>
      <color rgb="FFFF00FF"/>
      <color rgb="FFBEDA46"/>
      <color rgb="FFFFAA01"/>
      <color rgb="FFFF6161"/>
      <color rgb="FFEE8D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>
        <c:manualLayout>
          <c:layoutTarget val="inner"/>
          <c:xMode val="edge"/>
          <c:yMode val="edge"/>
          <c:x val="5.7484128043316617E-2"/>
          <c:y val="9.7892572603443861E-2"/>
          <c:w val="0.9203205531511951"/>
          <c:h val="0.743763419318151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Security Issues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Sheet1!$A$2:$B$9</c:f>
              <c:multiLvlStrCache>
                <c:ptCount val="8"/>
                <c:lvl>
                  <c:pt idx="0">
                    <c:v>nextjs</c:v>
                  </c:pt>
                  <c:pt idx="1">
                    <c:v>blazor</c:v>
                  </c:pt>
                  <c:pt idx="3">
                    <c:v>nextjs</c:v>
                  </c:pt>
                  <c:pt idx="4">
                    <c:v>blazor</c:v>
                  </c:pt>
                  <c:pt idx="6">
                    <c:v>nextjs</c:v>
                  </c:pt>
                  <c:pt idx="7">
                    <c:v>blazor</c:v>
                  </c:pt>
                </c:lvl>
                <c:lvl>
                  <c:pt idx="0">
                    <c:v>m1</c:v>
                  </c:pt>
                  <c:pt idx="1">
                    <c:v>m1</c:v>
                  </c:pt>
                  <c:pt idx="2">
                    <c:v>-</c:v>
                  </c:pt>
                  <c:pt idx="3">
                    <c:v>m2</c:v>
                  </c:pt>
                  <c:pt idx="4">
                    <c:v>m2</c:v>
                  </c:pt>
                  <c:pt idx="5">
                    <c:v>-</c:v>
                  </c:pt>
                  <c:pt idx="6">
                    <c:v>m3</c:v>
                  </c:pt>
                  <c:pt idx="7">
                    <c:v>m3</c:v>
                  </c:pt>
                </c:lvl>
              </c:multiLvlStrCache>
            </c:multiLvl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CE-4DC2-98AA-0BCEBF191504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Reliability Issues</c:v>
                </c:pt>
              </c:strCache>
            </c:strRef>
          </c:tx>
          <c:spPr>
            <a:solidFill>
              <a:srgbClr val="FFAA01"/>
            </a:solidFill>
            <a:ln>
              <a:noFill/>
            </a:ln>
            <a:effectLst/>
          </c:spPr>
          <c:invertIfNegative val="0"/>
          <c:cat>
            <c:multiLvlStrRef>
              <c:f>Sheet1!$A$2:$B$9</c:f>
              <c:multiLvlStrCache>
                <c:ptCount val="8"/>
                <c:lvl>
                  <c:pt idx="0">
                    <c:v>nextjs</c:v>
                  </c:pt>
                  <c:pt idx="1">
                    <c:v>blazor</c:v>
                  </c:pt>
                  <c:pt idx="3">
                    <c:v>nextjs</c:v>
                  </c:pt>
                  <c:pt idx="4">
                    <c:v>blazor</c:v>
                  </c:pt>
                  <c:pt idx="6">
                    <c:v>nextjs</c:v>
                  </c:pt>
                  <c:pt idx="7">
                    <c:v>blazor</c:v>
                  </c:pt>
                </c:lvl>
                <c:lvl>
                  <c:pt idx="0">
                    <c:v>m1</c:v>
                  </c:pt>
                  <c:pt idx="1">
                    <c:v>m1</c:v>
                  </c:pt>
                  <c:pt idx="2">
                    <c:v>-</c:v>
                  </c:pt>
                  <c:pt idx="3">
                    <c:v>m2</c:v>
                  </c:pt>
                  <c:pt idx="4">
                    <c:v>m2</c:v>
                  </c:pt>
                  <c:pt idx="5">
                    <c:v>-</c:v>
                  </c:pt>
                  <c:pt idx="6">
                    <c:v>m3</c:v>
                  </c:pt>
                  <c:pt idx="7">
                    <c:v>m3</c:v>
                  </c:pt>
                </c:lvl>
              </c:multiLvlStrCache>
            </c:multiLvlStrRef>
          </c:cat>
          <c:val>
            <c:numRef>
              <c:f>Sheet1!$D$2:$D$9</c:f>
              <c:numCache>
                <c:formatCode>General</c:formatCode>
                <c:ptCount val="8"/>
                <c:pt idx="0">
                  <c:v>3</c:v>
                </c:pt>
                <c:pt idx="1">
                  <c:v>1</c:v>
                </c:pt>
                <c:pt idx="3">
                  <c:v>2</c:v>
                </c:pt>
                <c:pt idx="4">
                  <c:v>1</c:v>
                </c:pt>
                <c:pt idx="6">
                  <c:v>3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CE-4DC2-98AA-0BCEBF191504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Maintainability Issues</c:v>
                </c:pt>
              </c:strCache>
              <c:extLst xmlns:c15="http://schemas.microsoft.com/office/drawing/2012/chart"/>
            </c:strRef>
          </c:tx>
          <c:spPr>
            <a:solidFill>
              <a:srgbClr val="BEDA46"/>
            </a:solidFill>
            <a:ln>
              <a:noFill/>
            </a:ln>
            <a:effectLst/>
          </c:spPr>
          <c:invertIfNegative val="0"/>
          <c:cat>
            <c:multiLvlStrRef>
              <c:f>Sheet1!$A$2:$B$9</c:f>
              <c:multiLvlStrCache>
                <c:ptCount val="8"/>
                <c:lvl>
                  <c:pt idx="0">
                    <c:v>nextjs</c:v>
                  </c:pt>
                  <c:pt idx="1">
                    <c:v>blazor</c:v>
                  </c:pt>
                  <c:pt idx="3">
                    <c:v>nextjs</c:v>
                  </c:pt>
                  <c:pt idx="4">
                    <c:v>blazor</c:v>
                  </c:pt>
                  <c:pt idx="6">
                    <c:v>nextjs</c:v>
                  </c:pt>
                  <c:pt idx="7">
                    <c:v>blazor</c:v>
                  </c:pt>
                </c:lvl>
                <c:lvl>
                  <c:pt idx="0">
                    <c:v>m1</c:v>
                  </c:pt>
                  <c:pt idx="1">
                    <c:v>m1</c:v>
                  </c:pt>
                  <c:pt idx="2">
                    <c:v>-</c:v>
                  </c:pt>
                  <c:pt idx="3">
                    <c:v>m2</c:v>
                  </c:pt>
                  <c:pt idx="4">
                    <c:v>m2</c:v>
                  </c:pt>
                  <c:pt idx="5">
                    <c:v>-</c:v>
                  </c:pt>
                  <c:pt idx="6">
                    <c:v>m3</c:v>
                  </c:pt>
                  <c:pt idx="7">
                    <c:v>m3</c:v>
                  </c:pt>
                </c:lvl>
              </c:multiLvlStrCache>
              <c:extLst xmlns:c15="http://schemas.microsoft.com/office/drawing/2012/chart"/>
            </c:multiLvlStrRef>
          </c:cat>
          <c:val>
            <c:numRef>
              <c:f>Sheet1!$E$2:$E$9</c:f>
              <c:numCache>
                <c:formatCode>General</c:formatCode>
                <c:ptCount val="8"/>
                <c:pt idx="0">
                  <c:v>88</c:v>
                </c:pt>
                <c:pt idx="1">
                  <c:v>12</c:v>
                </c:pt>
                <c:pt idx="3">
                  <c:v>64</c:v>
                </c:pt>
                <c:pt idx="4">
                  <c:v>22</c:v>
                </c:pt>
                <c:pt idx="6">
                  <c:v>104</c:v>
                </c:pt>
                <c:pt idx="7">
                  <c:v>8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2-1ACE-4DC2-98AA-0BCEBF1915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22139423"/>
        <c:axId val="1571223055"/>
        <c:extLst/>
      </c:barChart>
      <c:catAx>
        <c:axId val="1622139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571223055"/>
        <c:crosses val="autoZero"/>
        <c:auto val="1"/>
        <c:lblAlgn val="ctr"/>
        <c:lblOffset val="100"/>
        <c:noMultiLvlLbl val="0"/>
      </c:catAx>
      <c:valAx>
        <c:axId val="157122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622139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Sheet1!$C$11</c:f>
              <c:strCache>
                <c:ptCount val="1"/>
                <c:pt idx="0">
                  <c:v>Responsibility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Sheet1!$A$12:$B$19</c:f>
              <c:multiLvlStrCache>
                <c:ptCount val="8"/>
                <c:lvl>
                  <c:pt idx="0">
                    <c:v>nextjs</c:v>
                  </c:pt>
                  <c:pt idx="1">
                    <c:v>blazor</c:v>
                  </c:pt>
                  <c:pt idx="3">
                    <c:v>nextjs</c:v>
                  </c:pt>
                  <c:pt idx="4">
                    <c:v>blazor</c:v>
                  </c:pt>
                  <c:pt idx="6">
                    <c:v>nextjs</c:v>
                  </c:pt>
                  <c:pt idx="7">
                    <c:v>blazor</c:v>
                  </c:pt>
                </c:lvl>
                <c:lvl>
                  <c:pt idx="0">
                    <c:v>m1</c:v>
                  </c:pt>
                  <c:pt idx="1">
                    <c:v>m1</c:v>
                  </c:pt>
                  <c:pt idx="2">
                    <c:v>-</c:v>
                  </c:pt>
                  <c:pt idx="3">
                    <c:v>m2</c:v>
                  </c:pt>
                  <c:pt idx="4">
                    <c:v>m2</c:v>
                  </c:pt>
                  <c:pt idx="5">
                    <c:v>-</c:v>
                  </c:pt>
                  <c:pt idx="6">
                    <c:v>m3</c:v>
                  </c:pt>
                  <c:pt idx="7">
                    <c:v>m3</c:v>
                  </c:pt>
                </c:lvl>
              </c:multiLvlStrCache>
            </c:multiLvlStrRef>
          </c:cat>
          <c:val>
            <c:numRef>
              <c:f>Sheet1!$C$12:$C$19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9D-4F59-8295-29C00A1CA0D7}"/>
            </c:ext>
          </c:extLst>
        </c:ser>
        <c:ser>
          <c:idx val="1"/>
          <c:order val="1"/>
          <c:tx>
            <c:strRef>
              <c:f>Sheet1!$D$11</c:f>
              <c:strCache>
                <c:ptCount val="1"/>
                <c:pt idx="0">
                  <c:v>Consistency</c:v>
                </c:pt>
              </c:strCache>
            </c:strRef>
          </c:tx>
          <c:spPr>
            <a:solidFill>
              <a:srgbClr val="FF00FF"/>
            </a:solidFill>
            <a:ln>
              <a:noFill/>
            </a:ln>
            <a:effectLst/>
          </c:spPr>
          <c:invertIfNegative val="0"/>
          <c:cat>
            <c:multiLvlStrRef>
              <c:f>Sheet1!$A$12:$B$19</c:f>
              <c:multiLvlStrCache>
                <c:ptCount val="8"/>
                <c:lvl>
                  <c:pt idx="0">
                    <c:v>nextjs</c:v>
                  </c:pt>
                  <c:pt idx="1">
                    <c:v>blazor</c:v>
                  </c:pt>
                  <c:pt idx="3">
                    <c:v>nextjs</c:v>
                  </c:pt>
                  <c:pt idx="4">
                    <c:v>blazor</c:v>
                  </c:pt>
                  <c:pt idx="6">
                    <c:v>nextjs</c:v>
                  </c:pt>
                  <c:pt idx="7">
                    <c:v>blazor</c:v>
                  </c:pt>
                </c:lvl>
                <c:lvl>
                  <c:pt idx="0">
                    <c:v>m1</c:v>
                  </c:pt>
                  <c:pt idx="1">
                    <c:v>m1</c:v>
                  </c:pt>
                  <c:pt idx="2">
                    <c:v>-</c:v>
                  </c:pt>
                  <c:pt idx="3">
                    <c:v>m2</c:v>
                  </c:pt>
                  <c:pt idx="4">
                    <c:v>m2</c:v>
                  </c:pt>
                  <c:pt idx="5">
                    <c:v>-</c:v>
                  </c:pt>
                  <c:pt idx="6">
                    <c:v>m3</c:v>
                  </c:pt>
                  <c:pt idx="7">
                    <c:v>m3</c:v>
                  </c:pt>
                </c:lvl>
              </c:multiLvlStrCache>
            </c:multiLvlStrRef>
          </c:cat>
          <c:val>
            <c:numRef>
              <c:f>Sheet1!$D$12:$D$19</c:f>
              <c:numCache>
                <c:formatCode>General</c:formatCode>
                <c:ptCount val="8"/>
                <c:pt idx="0">
                  <c:v>2</c:v>
                </c:pt>
                <c:pt idx="1">
                  <c:v>0</c:v>
                </c:pt>
                <c:pt idx="3">
                  <c:v>1</c:v>
                </c:pt>
                <c:pt idx="4">
                  <c:v>0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9D-4F59-8295-29C00A1CA0D7}"/>
            </c:ext>
          </c:extLst>
        </c:ser>
        <c:ser>
          <c:idx val="2"/>
          <c:order val="2"/>
          <c:tx>
            <c:strRef>
              <c:f>Sheet1!$E$11</c:f>
              <c:strCache>
                <c:ptCount val="1"/>
                <c:pt idx="0">
                  <c:v>Intentionality</c:v>
                </c:pt>
              </c:strCache>
            </c:strRef>
          </c:tx>
          <c:spPr>
            <a:solidFill>
              <a:srgbClr val="B8B400"/>
            </a:solidFill>
            <a:ln>
              <a:noFill/>
            </a:ln>
            <a:effectLst/>
          </c:spPr>
          <c:invertIfNegative val="0"/>
          <c:cat>
            <c:multiLvlStrRef>
              <c:f>Sheet1!$A$12:$B$19</c:f>
              <c:multiLvlStrCache>
                <c:ptCount val="8"/>
                <c:lvl>
                  <c:pt idx="0">
                    <c:v>nextjs</c:v>
                  </c:pt>
                  <c:pt idx="1">
                    <c:v>blazor</c:v>
                  </c:pt>
                  <c:pt idx="3">
                    <c:v>nextjs</c:v>
                  </c:pt>
                  <c:pt idx="4">
                    <c:v>blazor</c:v>
                  </c:pt>
                  <c:pt idx="6">
                    <c:v>nextjs</c:v>
                  </c:pt>
                  <c:pt idx="7">
                    <c:v>blazor</c:v>
                  </c:pt>
                </c:lvl>
                <c:lvl>
                  <c:pt idx="0">
                    <c:v>m1</c:v>
                  </c:pt>
                  <c:pt idx="1">
                    <c:v>m1</c:v>
                  </c:pt>
                  <c:pt idx="2">
                    <c:v>-</c:v>
                  </c:pt>
                  <c:pt idx="3">
                    <c:v>m2</c:v>
                  </c:pt>
                  <c:pt idx="4">
                    <c:v>m2</c:v>
                  </c:pt>
                  <c:pt idx="5">
                    <c:v>-</c:v>
                  </c:pt>
                  <c:pt idx="6">
                    <c:v>m3</c:v>
                  </c:pt>
                  <c:pt idx="7">
                    <c:v>m3</c:v>
                  </c:pt>
                </c:lvl>
              </c:multiLvlStrCache>
            </c:multiLvlStrRef>
          </c:cat>
          <c:val>
            <c:numRef>
              <c:f>Sheet1!$E$12:$E$19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3">
                  <c:v>1</c:v>
                </c:pt>
                <c:pt idx="4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9D-4F59-8295-29C00A1CA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21094095"/>
        <c:axId val="1571285455"/>
      </c:barChart>
      <c:catAx>
        <c:axId val="1621094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571285455"/>
        <c:crosses val="autoZero"/>
        <c:auto val="1"/>
        <c:lblAlgn val="ctr"/>
        <c:lblOffset val="100"/>
        <c:noMultiLvlLbl val="0"/>
      </c:catAx>
      <c:valAx>
        <c:axId val="157128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621094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timing!$C$1</c:f>
              <c:strCache>
                <c:ptCount val="1"/>
                <c:pt idx="0">
                  <c:v>plan 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timing!$A$2:$B$7</c:f>
              <c:multiLvlStrCache>
                <c:ptCount val="6"/>
                <c:lvl>
                  <c:pt idx="0">
                    <c:v>nextjs</c:v>
                  </c:pt>
                  <c:pt idx="1">
                    <c:v>blazor</c:v>
                  </c:pt>
                  <c:pt idx="2">
                    <c:v>nextjs</c:v>
                  </c:pt>
                  <c:pt idx="3">
                    <c:v>blazor</c:v>
                  </c:pt>
                  <c:pt idx="4">
                    <c:v>nextjs</c:v>
                  </c:pt>
                  <c:pt idx="5">
                    <c:v>blazor</c:v>
                  </c:pt>
                </c:lvl>
                <c:lvl>
                  <c:pt idx="0">
                    <c:v>m1</c:v>
                  </c:pt>
                  <c:pt idx="1">
                    <c:v>m1</c:v>
                  </c:pt>
                  <c:pt idx="2">
                    <c:v>m2</c:v>
                  </c:pt>
                  <c:pt idx="3">
                    <c:v>m2</c:v>
                  </c:pt>
                  <c:pt idx="4">
                    <c:v>m3</c:v>
                  </c:pt>
                  <c:pt idx="5">
                    <c:v>m3</c:v>
                  </c:pt>
                </c:lvl>
              </c:multiLvlStrCache>
            </c:multiLvlStrRef>
          </c:cat>
          <c:val>
            <c:numRef>
              <c:f>timing!$C$2:$C$7</c:f>
              <c:numCache>
                <c:formatCode>mm:ss.00</c:formatCode>
                <c:ptCount val="6"/>
                <c:pt idx="2">
                  <c:v>1.6984953703703704E-3</c:v>
                </c:pt>
                <c:pt idx="3">
                  <c:v>1.073726851851852E-3</c:v>
                </c:pt>
                <c:pt idx="4">
                  <c:v>2.1554398148148149E-3</c:v>
                </c:pt>
                <c:pt idx="5">
                  <c:v>1.5771990740740742E-3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7B-480E-92FC-4F908E981B55}"/>
            </c:ext>
          </c:extLst>
        </c:ser>
        <c:ser>
          <c:idx val="1"/>
          <c:order val="1"/>
          <c:tx>
            <c:strRef>
              <c:f>timing!$D$1</c:f>
              <c:strCache>
                <c:ptCount val="1"/>
                <c:pt idx="0">
                  <c:v>execution time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timing!$A$2:$B$7</c:f>
              <c:multiLvlStrCache>
                <c:ptCount val="6"/>
                <c:lvl>
                  <c:pt idx="0">
                    <c:v>nextjs</c:v>
                  </c:pt>
                  <c:pt idx="1">
                    <c:v>blazor</c:v>
                  </c:pt>
                  <c:pt idx="2">
                    <c:v>nextjs</c:v>
                  </c:pt>
                  <c:pt idx="3">
                    <c:v>blazor</c:v>
                  </c:pt>
                  <c:pt idx="4">
                    <c:v>nextjs</c:v>
                  </c:pt>
                  <c:pt idx="5">
                    <c:v>blazor</c:v>
                  </c:pt>
                </c:lvl>
                <c:lvl>
                  <c:pt idx="0">
                    <c:v>m1</c:v>
                  </c:pt>
                  <c:pt idx="1">
                    <c:v>m1</c:v>
                  </c:pt>
                  <c:pt idx="2">
                    <c:v>m2</c:v>
                  </c:pt>
                  <c:pt idx="3">
                    <c:v>m2</c:v>
                  </c:pt>
                  <c:pt idx="4">
                    <c:v>m3</c:v>
                  </c:pt>
                  <c:pt idx="5">
                    <c:v>m3</c:v>
                  </c:pt>
                </c:lvl>
              </c:multiLvlStrCache>
            </c:multiLvlStrRef>
          </c:cat>
          <c:val>
            <c:numRef>
              <c:f>timing!$D$2:$D$7</c:f>
              <c:numCache>
                <c:formatCode>mm:ss.00</c:formatCode>
                <c:ptCount val="6"/>
                <c:pt idx="0">
                  <c:v>9.2644675925925932E-3</c:v>
                </c:pt>
                <c:pt idx="1">
                  <c:v>6.8980324074074074E-3</c:v>
                </c:pt>
                <c:pt idx="2">
                  <c:v>6.5541666666666665E-3</c:v>
                </c:pt>
                <c:pt idx="3">
                  <c:v>6.5890046296296296E-3</c:v>
                </c:pt>
                <c:pt idx="4">
                  <c:v>6.2270833333333327E-3</c:v>
                </c:pt>
                <c:pt idx="5">
                  <c:v>4.13587962962963E-3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7B-480E-92FC-4F908E981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8399168"/>
        <c:axId val="160620944"/>
      </c:barChart>
      <c:catAx>
        <c:axId val="54839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60620944"/>
        <c:crosses val="autoZero"/>
        <c:auto val="1"/>
        <c:lblAlgn val="ctr"/>
        <c:lblOffset val="100"/>
        <c:noMultiLvlLbl val="0"/>
      </c:catAx>
      <c:valAx>
        <c:axId val="16062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:ss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4839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16</xdr:col>
      <xdr:colOff>198120</xdr:colOff>
      <xdr:row>28</xdr:row>
      <xdr:rowOff>3810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AFB829D-7ED1-493D-BDB3-EDC2D639A6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27</xdr:col>
      <xdr:colOff>201930</xdr:colOff>
      <xdr:row>28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799556-FB97-489A-A4D2-261774B3B2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19</xdr:col>
      <xdr:colOff>15240</xdr:colOff>
      <xdr:row>24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131648-6604-473F-BAA2-0F4C95AD46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EB63B-D425-45CC-BF70-8D5188AD4059}">
  <dimension ref="A1:E19"/>
  <sheetViews>
    <sheetView workbookViewId="0">
      <selection activeCell="Q1" sqref="Q1"/>
    </sheetView>
  </sheetViews>
  <sheetFormatPr defaultRowHeight="14.4" x14ac:dyDescent="0.3"/>
  <cols>
    <col min="1" max="1" width="11.88671875" customWidth="1"/>
    <col min="2" max="2" width="5.88671875" customWidth="1"/>
    <col min="3" max="3" width="13.21875" customWidth="1"/>
    <col min="4" max="4" width="14.6640625" customWidth="1"/>
    <col min="5" max="5" width="18.88671875" customWidth="1"/>
  </cols>
  <sheetData>
    <row r="1" spans="1:5" x14ac:dyDescent="0.3">
      <c r="A1" s="1" t="s">
        <v>3</v>
      </c>
      <c r="B1" s="1" t="s">
        <v>4</v>
      </c>
      <c r="C1" s="1" t="s">
        <v>7</v>
      </c>
      <c r="D1" s="1" t="s">
        <v>8</v>
      </c>
      <c r="E1" s="1" t="s">
        <v>9</v>
      </c>
    </row>
    <row r="2" spans="1:5" x14ac:dyDescent="0.3">
      <c r="A2" t="s">
        <v>1</v>
      </c>
      <c r="B2" t="s">
        <v>5</v>
      </c>
      <c r="C2">
        <v>1</v>
      </c>
      <c r="D2">
        <v>3</v>
      </c>
      <c r="E2">
        <v>88</v>
      </c>
    </row>
    <row r="3" spans="1:5" x14ac:dyDescent="0.3">
      <c r="A3" t="s">
        <v>1</v>
      </c>
      <c r="B3" t="s">
        <v>6</v>
      </c>
      <c r="C3">
        <v>1</v>
      </c>
      <c r="D3">
        <v>1</v>
      </c>
      <c r="E3">
        <v>12</v>
      </c>
    </row>
    <row r="4" spans="1:5" x14ac:dyDescent="0.3">
      <c r="A4" t="s">
        <v>10</v>
      </c>
    </row>
    <row r="5" spans="1:5" x14ac:dyDescent="0.3">
      <c r="A5" t="s">
        <v>2</v>
      </c>
      <c r="B5" t="s">
        <v>5</v>
      </c>
      <c r="C5">
        <v>0</v>
      </c>
      <c r="D5">
        <v>2</v>
      </c>
      <c r="E5">
        <v>64</v>
      </c>
    </row>
    <row r="6" spans="1:5" x14ac:dyDescent="0.3">
      <c r="A6" t="s">
        <v>2</v>
      </c>
      <c r="B6" t="s">
        <v>6</v>
      </c>
      <c r="C6">
        <v>0</v>
      </c>
      <c r="D6">
        <v>1</v>
      </c>
      <c r="E6">
        <v>22</v>
      </c>
    </row>
    <row r="7" spans="1:5" x14ac:dyDescent="0.3">
      <c r="A7" t="s">
        <v>10</v>
      </c>
    </row>
    <row r="8" spans="1:5" x14ac:dyDescent="0.3">
      <c r="A8" t="s">
        <v>0</v>
      </c>
      <c r="B8" t="s">
        <v>5</v>
      </c>
      <c r="C8">
        <v>0</v>
      </c>
      <c r="D8">
        <v>3</v>
      </c>
      <c r="E8">
        <v>104</v>
      </c>
    </row>
    <row r="9" spans="1:5" x14ac:dyDescent="0.3">
      <c r="A9" t="s">
        <v>0</v>
      </c>
      <c r="B9" t="s">
        <v>6</v>
      </c>
      <c r="C9">
        <v>1</v>
      </c>
      <c r="D9">
        <v>1</v>
      </c>
      <c r="E9">
        <v>8</v>
      </c>
    </row>
    <row r="11" spans="1:5" x14ac:dyDescent="0.3">
      <c r="A11" s="1" t="s">
        <v>3</v>
      </c>
      <c r="B11" s="1" t="s">
        <v>4</v>
      </c>
      <c r="C11" s="1" t="s">
        <v>11</v>
      </c>
      <c r="D11" s="1" t="s">
        <v>12</v>
      </c>
      <c r="E11" s="1" t="s">
        <v>13</v>
      </c>
    </row>
    <row r="12" spans="1:5" x14ac:dyDescent="0.3">
      <c r="A12" t="s">
        <v>1</v>
      </c>
      <c r="B12" t="s">
        <v>5</v>
      </c>
      <c r="C12">
        <v>1</v>
      </c>
      <c r="D12">
        <v>2</v>
      </c>
      <c r="E12">
        <v>1</v>
      </c>
    </row>
    <row r="13" spans="1:5" x14ac:dyDescent="0.3">
      <c r="A13" t="s">
        <v>1</v>
      </c>
      <c r="B13" t="s">
        <v>6</v>
      </c>
      <c r="C13">
        <v>1</v>
      </c>
      <c r="D13">
        <v>0</v>
      </c>
      <c r="E13">
        <v>1</v>
      </c>
    </row>
    <row r="14" spans="1:5" x14ac:dyDescent="0.3">
      <c r="A14" t="s">
        <v>10</v>
      </c>
    </row>
    <row r="15" spans="1:5" x14ac:dyDescent="0.3">
      <c r="A15" t="s">
        <v>2</v>
      </c>
      <c r="B15" t="s">
        <v>5</v>
      </c>
      <c r="C15">
        <v>0</v>
      </c>
      <c r="D15">
        <v>1</v>
      </c>
      <c r="E15">
        <v>1</v>
      </c>
    </row>
    <row r="16" spans="1:5" x14ac:dyDescent="0.3">
      <c r="A16" t="s">
        <v>2</v>
      </c>
      <c r="B16" t="s">
        <v>6</v>
      </c>
      <c r="C16">
        <v>0</v>
      </c>
      <c r="D16">
        <v>0</v>
      </c>
      <c r="E16">
        <v>1</v>
      </c>
    </row>
    <row r="17" spans="1:5" x14ac:dyDescent="0.3">
      <c r="A17" t="s">
        <v>10</v>
      </c>
    </row>
    <row r="18" spans="1:5" x14ac:dyDescent="0.3">
      <c r="A18" t="s">
        <v>0</v>
      </c>
      <c r="B18" t="s">
        <v>5</v>
      </c>
      <c r="C18">
        <v>0</v>
      </c>
      <c r="D18">
        <v>1</v>
      </c>
      <c r="E18">
        <v>1</v>
      </c>
    </row>
    <row r="19" spans="1:5" x14ac:dyDescent="0.3">
      <c r="A19" t="s">
        <v>0</v>
      </c>
      <c r="B19" t="s">
        <v>6</v>
      </c>
      <c r="C19">
        <v>1</v>
      </c>
      <c r="D19">
        <v>0</v>
      </c>
      <c r="E19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BC10E-23ED-4F9C-BEFB-487E7738371E}">
  <dimension ref="A1:F11"/>
  <sheetViews>
    <sheetView tabSelected="1" workbookViewId="0">
      <selection activeCell="F12" sqref="F12"/>
    </sheetView>
  </sheetViews>
  <sheetFormatPr defaultRowHeight="14.4" x14ac:dyDescent="0.3"/>
  <sheetData>
    <row r="1" spans="1:6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 spans="1:6" x14ac:dyDescent="0.3">
      <c r="A2" t="s">
        <v>1</v>
      </c>
      <c r="B2" t="s">
        <v>5</v>
      </c>
      <c r="C2" s="2"/>
      <c r="D2" s="2">
        <v>9.2644675925925932E-3</v>
      </c>
      <c r="E2" s="2">
        <f>SUM(C2:D2)</f>
        <v>9.2644675925925932E-3</v>
      </c>
    </row>
    <row r="3" spans="1:6" x14ac:dyDescent="0.3">
      <c r="A3" t="s">
        <v>1</v>
      </c>
      <c r="B3" t="s">
        <v>6</v>
      </c>
      <c r="C3" s="2"/>
      <c r="D3" s="2">
        <v>6.8980324074074074E-3</v>
      </c>
      <c r="E3" s="2">
        <f t="shared" ref="E3:E7" si="0">SUM(C3:D3)</f>
        <v>6.8980324074074074E-3</v>
      </c>
    </row>
    <row r="4" spans="1:6" x14ac:dyDescent="0.3">
      <c r="A4" t="s">
        <v>2</v>
      </c>
      <c r="B4" t="s">
        <v>5</v>
      </c>
      <c r="C4" s="2">
        <v>1.6984953703703704E-3</v>
      </c>
      <c r="D4" s="2">
        <v>6.5541666666666665E-3</v>
      </c>
      <c r="E4" s="2">
        <f t="shared" si="0"/>
        <v>8.2526620370370375E-3</v>
      </c>
    </row>
    <row r="5" spans="1:6" x14ac:dyDescent="0.3">
      <c r="A5" t="s">
        <v>2</v>
      </c>
      <c r="B5" t="s">
        <v>6</v>
      </c>
      <c r="C5" s="2">
        <v>1.073726851851852E-3</v>
      </c>
      <c r="D5" s="2">
        <v>6.5890046296296296E-3</v>
      </c>
      <c r="E5" s="2">
        <f t="shared" si="0"/>
        <v>7.6627314814814813E-3</v>
      </c>
    </row>
    <row r="6" spans="1:6" x14ac:dyDescent="0.3">
      <c r="A6" t="s">
        <v>0</v>
      </c>
      <c r="B6" t="s">
        <v>5</v>
      </c>
      <c r="C6" s="2">
        <v>2.1554398148148149E-3</v>
      </c>
      <c r="D6" s="2">
        <v>6.2270833333333327E-3</v>
      </c>
      <c r="E6" s="2">
        <f t="shared" si="0"/>
        <v>8.3825231481481476E-3</v>
      </c>
    </row>
    <row r="7" spans="1:6" x14ac:dyDescent="0.3">
      <c r="A7" t="s">
        <v>0</v>
      </c>
      <c r="B7" t="s">
        <v>6</v>
      </c>
      <c r="C7" s="2">
        <v>1.5771990740740742E-3</v>
      </c>
      <c r="D7" s="2">
        <v>4.13587962962963E-3</v>
      </c>
      <c r="E7" s="2">
        <f t="shared" si="0"/>
        <v>5.7130787037037046E-3</v>
      </c>
    </row>
    <row r="9" spans="1:6" x14ac:dyDescent="0.3">
      <c r="D9" t="s">
        <v>19</v>
      </c>
      <c r="E9" s="2">
        <f>AVERAGE(E2:E7)</f>
        <v>7.695582561728395E-3</v>
      </c>
      <c r="F9" s="3">
        <f>11.08</f>
        <v>11.08</v>
      </c>
    </row>
    <row r="10" spans="1:6" x14ac:dyDescent="0.3">
      <c r="D10" t="s">
        <v>20</v>
      </c>
      <c r="E10" s="2">
        <f>MIN(E2:E7)</f>
        <v>5.7130787037037046E-3</v>
      </c>
      <c r="F10" s="3">
        <v>8.23</v>
      </c>
    </row>
    <row r="11" spans="1:6" x14ac:dyDescent="0.3">
      <c r="D11" t="s">
        <v>21</v>
      </c>
      <c r="E11" s="2">
        <f>MAX(E2:E7)</f>
        <v>9.2644675925925932E-3</v>
      </c>
      <c r="F11" s="3">
        <v>13.34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timing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Elliot HEYSE</dc:creator>
  <cp:lastModifiedBy>Elliot HEYSE</cp:lastModifiedBy>
  <dcterms:created xsi:type="dcterms:W3CDTF">2026-07-01T14:26:09Z</dcterms:created>
  <dcterms:modified xsi:type="dcterms:W3CDTF">2026-08-01T05:31:02Z</dcterms:modified>
</cp:coreProperties>
</file>