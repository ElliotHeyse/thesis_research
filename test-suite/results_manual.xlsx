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lio\Documents\MCT\AJ2025-2026\bachelorproef\thesis_research\test-suite\"/>
    </mc:Choice>
  </mc:AlternateContent>
  <xr:revisionPtr revIDLastSave="0" documentId="13_ncr:1_{65DEFD3E-C6D6-42EA-AD2F-CE9219CF91DD}" xr6:coauthVersionLast="47" xr6:coauthVersionMax="47" xr10:uidLastSave="{00000000-0000-0000-0000-000000000000}"/>
  <bookViews>
    <workbookView xWindow="-108" yWindow="-108" windowWidth="23256" windowHeight="12456" xr2:uid="{0474721D-4CA8-47AC-98F8-0E8C5C68D0C3}"/>
  </bookViews>
  <sheets>
    <sheet name="Sheet1" sheetId="1" r:id="rId1"/>
  </sheets>
  <definedNames>
    <definedName name="_xlnm._FilterDatabase" localSheetId="0" hidden="1">Sheet1!$A$1:$I$36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5" i="1" l="1"/>
  <c r="F35" i="1"/>
  <c r="G35" i="1"/>
  <c r="H35" i="1"/>
  <c r="I35" i="1"/>
  <c r="E36" i="1"/>
  <c r="F36" i="1"/>
  <c r="G36" i="1"/>
  <c r="H36" i="1"/>
  <c r="I36" i="1"/>
  <c r="D35" i="1"/>
  <c r="D36" i="1"/>
</calcChain>
</file>

<file path=xl/sharedStrings.xml><?xml version="1.0" encoding="utf-8"?>
<sst xmlns="http://schemas.openxmlformats.org/spreadsheetml/2006/main" count="299" uniqueCount="115">
  <si>
    <t>Code</t>
  </si>
  <si>
    <t>D1</t>
  </si>
  <si>
    <t>Title</t>
  </si>
  <si>
    <t>Donor list</t>
  </si>
  <si>
    <t>Description</t>
  </si>
  <si>
    <t>m0-s1-next</t>
  </si>
  <si>
    <t>m0-s1-blazor</t>
  </si>
  <si>
    <t>m1-s1-next</t>
  </si>
  <si>
    <t>m1-s1-blazor</t>
  </si>
  <si>
    <t>m2-s1-next</t>
  </si>
  <si>
    <t>m2-s1-blazor</t>
  </si>
  <si>
    <t>seeded donors appear with expected fields; tax-receipt column reflects seeded TaxReceipt state.</t>
  </si>
  <si>
    <t>GET the create URL with valid params → donor appears on list; assert success-flash state and redirect target.</t>
  </si>
  <si>
    <t>edit seeded donor → changed values appear; the manual-TaxReceipt checkbox path reflects in state.</t>
  </si>
  <si>
    <t>only donors with items and TaxReceipt=0 appear; item count and total value match seeded data; ineligible donors absent (presence + absence).</t>
  </si>
  <si>
    <t> Create donor</t>
  </si>
  <si>
    <t>Edit donor</t>
  </si>
  <si>
    <t>Donor letters</t>
  </si>
  <si>
    <t>Tax receipts</t>
  </si>
  <si>
    <t>Pending receipts report</t>
  </si>
  <si>
    <t>Delete donor</t>
  </si>
  <si>
    <t>D2</t>
  </si>
  <si>
    <t>D3</t>
  </si>
  <si>
    <t>D6</t>
  </si>
  <si>
    <t>D7</t>
  </si>
  <si>
    <t>D9</t>
  </si>
  <si>
    <t>D10</t>
  </si>
  <si>
    <t>I1</t>
  </si>
  <si>
    <t>Item list</t>
  </si>
  <si>
    <t>seeded items appear with donor name, lot, and the bidding-sheet link target.</t>
  </si>
  <si>
    <t>I2</t>
  </si>
  <si>
    <t>Bulk lot assignment</t>
  </si>
  <si>
    <t>POST batch update → assert each item's lot changed; specifically assert the -1 → NULL sentinel (item set to "no lot" persists as null/unassigned on re-read). Highest-risk dynamic-SQL feature; assert it directly.</t>
  </si>
  <si>
    <t>I3</t>
  </si>
  <si>
    <t>Create item</t>
  </si>
  <si>
    <t>valid create (description, retail, required donor, optional lot) → appears on list.</t>
  </si>
  <si>
    <t>I4</t>
  </si>
  <si>
    <t>Edit item</t>
  </si>
  <si>
    <t>change reflected on re-read.</t>
  </si>
  <si>
    <t>I5</t>
  </si>
  <si>
    <t>Delete item</t>
  </si>
  <si>
    <t>confirm → record gone.</t>
  </si>
  <si>
    <t>I6</t>
  </si>
  <si>
    <t>Bidding sheet PDF</t>
  </si>
  <si>
    <t>fetch with no params → assert defaults in PDF text (50% retail / $5 / 15 rows); fetch with explicit startingBid/bidIncrement/rows → assert those values. Pure input→output, ideal for automation.</t>
  </si>
  <si>
    <t>L1</t>
  </si>
  <si>
    <t>Lot list</t>
  </si>
  <si>
    <t>L2</t>
  </si>
  <si>
    <t>Create lot</t>
  </si>
  <si>
    <t>appears on list. (L2 row was truncated in the inventory but follows the create pattern.)</t>
  </si>
  <si>
    <t>L3</t>
  </si>
  <si>
    <t>Edit lot</t>
  </si>
  <si>
    <t>change reflected.</t>
  </si>
  <si>
    <t>L4</t>
  </si>
  <si>
    <t>Delete lot</t>
  </si>
  <si>
    <t>record gone (no FK guard in legacy — assert it deletes even with items, matching legacy).</t>
  </si>
  <si>
    <t>L5</t>
  </si>
  <si>
    <t>Lot details view</t>
  </si>
  <si>
    <t>description, bid, winner, delivered, category render with seeded values.</t>
  </si>
  <si>
    <t>C1</t>
  </si>
  <si>
    <t>Category list</t>
  </si>
  <si>
    <t>seeded categories with id/description.</t>
  </si>
  <si>
    <t>C2</t>
  </si>
  <si>
    <t>Create category</t>
  </si>
  <si>
    <t>straightforward CRUD, assert on list state.</t>
  </si>
  <si>
    <t>C3</t>
  </si>
  <si>
    <t>Edit category</t>
  </si>
  <si>
    <t>C4</t>
  </si>
  <si>
    <t>Delete category</t>
  </si>
  <si>
    <t>S2</t>
  </si>
  <si>
    <t>Page layout</t>
  </si>
  <si>
    <t>these are how pages look, not what data they show. Whether it renders styled correctly is manual.</t>
  </si>
  <si>
    <t>S3</t>
  </si>
  <si>
    <t>Main nav (active highlighting)</t>
  </si>
  <si>
    <t>S4</t>
  </si>
  <si>
    <t>Flash rendering</t>
  </si>
  <si>
    <t>S5</t>
  </si>
  <si>
    <t>Global styling</t>
  </si>
  <si>
    <t>S8</t>
  </si>
  <si>
    <t>UI primitives</t>
  </si>
  <si>
    <t>S1</t>
  </si>
  <si>
    <t>Home hub</t>
  </si>
  <si>
    <t>trivial; manual glance that the three module links are present and go where expected.</t>
  </si>
  <si>
    <t>D8</t>
  </si>
  <si>
    <t>Donor letters (PDF)</t>
  </si>
  <si>
    <t>seeded lots show winning bid, winner name, delivered flag, category. (Note the inventory's drift flag: get_lot may not join bidder, so winner name may be blank - assert whatever the legacy app actually outputs, since that's your equivalence baseline. The legacy behavior is the oracle, bugs included.)</t>
  </si>
  <si>
    <t>A1</t>
  </si>
  <si>
    <t>Auction browse by category</t>
  </si>
  <si>
    <t>items grouped under correct category headings (the lot→category join); assert each seeded item appears under its expected heading and not elsewhere. Good join-correctness check.</t>
  </si>
  <si>
    <t>PDF + mark sent — fetch receipt → assert itemized donation values in PDF text; assert DB side-effect (TaxReceipt flips 0→1) via direct DB check before/after. This is your one read-path-with-side-effect; the before/after DB assertion is the clean way to catch it.</t>
  </si>
  <si>
    <t>ok</t>
  </si>
  <si>
    <t>D4-a</t>
  </si>
  <si>
    <t>D4-b</t>
  </si>
  <si>
    <t>delete a donor with no items → gone</t>
  </si>
  <si>
    <t>attempt delete on a donor with seeded items → blocked, record persists (the FK guard    high-value).</t>
  </si>
  <si>
    <t>successful coverage:</t>
  </si>
  <si>
    <t># of failures:</t>
  </si>
  <si>
    <t>selection: only eligible donors (items, no receipt yet) listed; ineligible absent.</t>
  </si>
  <si>
    <t>selection: selection page lists expected donors.</t>
  </si>
  <si>
    <t>multi-page solicitation letters. You can auto-assert key text (donor name, body content) in PDF text, but page-breaking and per-donor multi-page layout is the actual risk here and is visual — manual. walk the actual print trigger manually if the POST returns a PDF stream rather than a navigable page.</t>
  </si>
  <si>
    <t>pdf package missing</t>
  </si>
  <si>
    <t>nav highlight does not update</t>
  </si>
  <si>
    <t>most styling missing</t>
  </si>
  <si>
    <t># of distinct/aggregatable issues:</t>
  </si>
  <si>
    <t>@formname required</t>
  </si>
  <si>
    <t>missing</t>
  </si>
  <si>
    <t>Home page has additional styling</t>
  </si>
  <si>
    <t>delete button does not exist</t>
  </si>
  <si>
    <t>some styling missing</t>
  </si>
  <si>
    <t>no visual update after crud failure/success</t>
  </si>
  <si>
    <t>fail modal on successful crud</t>
  </si>
  <si>
    <t>present, but incisible due to styling</t>
  </si>
  <si>
    <t>highlight only on hover</t>
  </si>
  <si>
    <t>lots of styling missing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</si>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</sst>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u/>
      <sz val="11"/>
      <color rgb="FF7F7F7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2" borderId="0" applyNumberFormat="0" applyBorder="0" applyAlignment="0" applyProtection="0"/>
  </cellStyleXfs>
  <cellXfs count="17">
    <xf numFmtId="0" fontId="0" fillId="0" borderId="0" xfId="0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1" fillId="0" borderId="0" xfId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1" xfId="1" applyBorder="1" applyAlignment="1">
      <alignment horizontal="left" vertical="top" wrapText="1"/>
    </xf>
    <xf numFmtId="0" fontId="7" fillId="2" borderId="0" xfId="2" applyBorder="1" applyAlignment="1">
      <alignment horizontal="left" vertical="top"/>
    </xf>
    <xf numFmtId="0" fontId="7" fillId="2" borderId="1" xfId="2" applyBorder="1" applyAlignment="1">
      <alignment horizontal="left" vertical="top"/>
    </xf>
    <xf numFmtId="0" fontId="7" fillId="2" borderId="0" xfId="2" applyAlignment="1">
      <alignment horizontal="left" vertical="top"/>
    </xf>
    <xf numFmtId="0" fontId="0" fillId="0" borderId="0" xfId="0" applyAlignment="1">
      <alignment horizontal="right" vertical="top" wrapText="1"/>
    </xf>
    <xf numFmtId="0" fontId="7" fillId="2" borderId="0" xfId="2" quotePrefix="1" applyAlignment="1">
      <alignment horizontal="left" vertical="top"/>
    </xf>
    <xf numFmtId="0" fontId="7" fillId="2" borderId="0" xfId="2" quotePrefix="1" applyBorder="1" applyAlignment="1">
      <alignment horizontal="left" vertical="top"/>
    </xf>
  </cellXfs>
  <cellStyles count="3">
    <cellStyle name="Bad" xfId="2" builtinId="27"/>
    <cellStyle name="Explanatory Text" xfId="1" builtinId="53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6285-16AE-4D29-8315-CE530FB3B845}">
  <dimension ref="A1:I38"/>
  <sheetViews>
    <sheetView tabSelected="1" workbookViewId="0">
      <pane xSplit="3" ySplit="1" topLeftCell="D22" activePane="bottomRight" state="frozen"/>
      <selection pane="topRight" activeCell="D1" sqref="D1"/>
      <selection pane="bottomLeft" activeCell="A2" sqref="A2"/>
      <selection pane="bottomRight" activeCell="I39" sqref="I39"/>
    </sheetView>
  </sheetViews>
  <sheetFormatPr defaultRowHeight="14.4" x14ac:dyDescent="0.3"/>
  <cols>
    <col min="1" max="1" width="8.88671875" style="2"/>
    <col min="2" max="2" width="23.88671875" style="2" customWidth="1"/>
    <col min="3" max="3" width="81.77734375" style="4" customWidth="1"/>
    <col min="4" max="9" width="13.33203125" style="2" customWidth="1"/>
  </cols>
  <sheetData>
    <row r="1" spans="1:9" x14ac:dyDescent="0.3">
      <c r="A1" s="1" t="s">
        <v>0</v>
      </c>
      <c r="B1" s="1" t="s">
        <v>2</v>
      </c>
      <c r="C1" s="6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 spans="1:9" x14ac:dyDescent="0.3">
      <c r="A2" s="2" t="s">
        <v>1</v>
      </c>
      <c r="B2" s="2" t="s">
        <v>3</v>
      </c>
      <c r="C2" s="8" t="s">
        <v>11</v>
      </c>
      <c r="D2" s="11" t="s">
        <v>90</v>
      </c>
      <c r="E2" s="11" t="s">
        <v>90</v>
      </c>
      <c r="F2" s="11" t="s">
        <v>90</v>
      </c>
      <c r="G2" s="11" t="s">
        <v>90</v>
      </c>
      <c r="H2" s="11" t="s">
        <v>90</v>
      </c>
      <c r="I2" s="11" t="s">
        <v>90</v>
      </c>
    </row>
    <row r="3" spans="1:9" ht="28.8" x14ac:dyDescent="0.3">
      <c r="A3" s="2" t="s">
        <v>21</v>
      </c>
      <c r="B3" s="2" t="s">
        <v>15</v>
      </c>
      <c r="C3" s="8" t="s">
        <v>12</v>
      </c>
      <c r="D3" s="11" t="s">
        <v>90</v>
      </c>
      <c r="E3" s="11" t="s">
        <v>90</v>
      </c>
      <c r="F3" s="11" t="s">
        <v>90</v>
      </c>
      <c r="G3" s="11" t="s">
        <v>90</v>
      </c>
      <c r="H3" s="11" t="s">
        <v>90</v>
      </c>
      <c r="I3" s="11" t="s">
        <v>90</v>
      </c>
    </row>
    <row r="4" spans="1:9" x14ac:dyDescent="0.3">
      <c r="A4" s="2" t="s">
        <v>22</v>
      </c>
      <c r="B4" s="2" t="s">
        <v>16</v>
      </c>
      <c r="C4" s="8" t="s">
        <v>13</v>
      </c>
      <c r="D4" s="11" t="s">
        <v>90</v>
      </c>
      <c r="E4" s="16" t="s">
        <v>104</v>
      </c>
      <c r="F4" s="11" t="s">
        <v>90</v>
      </c>
      <c r="G4" s="11" t="s">
        <v>90</v>
      </c>
      <c r="H4" s="11" t="s">
        <v>90</v>
      </c>
      <c r="I4" s="11" t="s">
        <v>90</v>
      </c>
    </row>
    <row r="5" spans="1:9" x14ac:dyDescent="0.3">
      <c r="A5" s="2" t="s">
        <v>91</v>
      </c>
      <c r="B5" s="2" t="s">
        <v>20</v>
      </c>
      <c r="C5" s="8" t="s">
        <v>93</v>
      </c>
      <c r="D5" s="11" t="s">
        <v>90</v>
      </c>
      <c r="E5" s="11" t="s">
        <v>90</v>
      </c>
      <c r="F5" s="11" t="s">
        <v>90</v>
      </c>
      <c r="G5" s="11" t="s">
        <v>90</v>
      </c>
      <c r="H5" s="11" t="s">
        <v>90</v>
      </c>
      <c r="I5" s="11" t="s">
        <v>90</v>
      </c>
    </row>
    <row r="6" spans="1:9" x14ac:dyDescent="0.3">
      <c r="A6" s="2" t="s">
        <v>92</v>
      </c>
      <c r="B6" s="2" t="s">
        <v>20</v>
      </c>
      <c r="C6" s="8" t="s">
        <v>94</v>
      </c>
      <c r="D6" s="11" t="s">
        <v>90</v>
      </c>
      <c r="E6" s="11" t="s">
        <v>90</v>
      </c>
      <c r="F6" s="11" t="s">
        <v>90</v>
      </c>
      <c r="G6" s="11" t="s">
        <v>90</v>
      </c>
      <c r="H6" s="11" t="s">
        <v>90</v>
      </c>
      <c r="I6" s="11" t="s">
        <v>90</v>
      </c>
    </row>
    <row r="7" spans="1:9" ht="28.8" x14ac:dyDescent="0.3">
      <c r="A7" s="2" t="s">
        <v>23</v>
      </c>
      <c r="B7" s="2" t="s">
        <v>19</v>
      </c>
      <c r="C7" s="8" t="s">
        <v>14</v>
      </c>
      <c r="D7" s="11" t="s">
        <v>90</v>
      </c>
      <c r="E7" s="11" t="s">
        <v>90</v>
      </c>
      <c r="F7" s="11" t="s">
        <v>90</v>
      </c>
      <c r="G7" s="11" t="s">
        <v>90</v>
      </c>
      <c r="H7" s="11" t="s">
        <v>90</v>
      </c>
      <c r="I7" s="11" t="s">
        <v>90</v>
      </c>
    </row>
    <row r="8" spans="1:9" x14ac:dyDescent="0.3">
      <c r="A8" s="2" t="s">
        <v>24</v>
      </c>
      <c r="B8" s="2" t="s">
        <v>17</v>
      </c>
      <c r="C8" s="8" t="s">
        <v>98</v>
      </c>
      <c r="D8" s="11" t="s">
        <v>90</v>
      </c>
      <c r="E8" s="11" t="s">
        <v>90</v>
      </c>
      <c r="F8" s="11" t="s">
        <v>90</v>
      </c>
      <c r="G8" s="11" t="s">
        <v>90</v>
      </c>
      <c r="H8" s="11" t="s">
        <v>90</v>
      </c>
      <c r="I8" s="11" t="s">
        <v>90</v>
      </c>
    </row>
    <row r="9" spans="1:9" ht="43.2" x14ac:dyDescent="0.3">
      <c r="A9" s="2" t="s">
        <v>83</v>
      </c>
      <c r="B9" s="2" t="s">
        <v>84</v>
      </c>
      <c r="C9" s="8" t="s">
        <v>99</v>
      </c>
      <c r="D9" s="11" t="s">
        <v>100</v>
      </c>
      <c r="E9" s="11" t="s">
        <v>90</v>
      </c>
      <c r="F9" s="11" t="s">
        <v>100</v>
      </c>
      <c r="G9" s="11" t="s">
        <v>90</v>
      </c>
      <c r="H9" s="11" t="s">
        <v>100</v>
      </c>
      <c r="I9" s="11" t="s">
        <v>90</v>
      </c>
    </row>
    <row r="10" spans="1:9" x14ac:dyDescent="0.3">
      <c r="A10" s="2" t="s">
        <v>25</v>
      </c>
      <c r="B10" s="2" t="s">
        <v>18</v>
      </c>
      <c r="C10" s="8" t="s">
        <v>97</v>
      </c>
      <c r="D10" s="11" t="s">
        <v>90</v>
      </c>
      <c r="E10" s="11" t="s">
        <v>90</v>
      </c>
      <c r="F10" s="11" t="s">
        <v>90</v>
      </c>
      <c r="G10" s="11" t="s">
        <v>90</v>
      </c>
      <c r="H10" s="11" t="s">
        <v>90</v>
      </c>
      <c r="I10" s="11" t="s">
        <v>90</v>
      </c>
    </row>
    <row r="11" spans="1:9" ht="43.2" x14ac:dyDescent="0.3">
      <c r="A11" s="9" t="s">
        <v>26</v>
      </c>
      <c r="B11" s="9" t="s">
        <v>18</v>
      </c>
      <c r="C11" s="10" t="s">
        <v>89</v>
      </c>
      <c r="D11" s="12" t="s">
        <v>100</v>
      </c>
      <c r="E11" s="12" t="s">
        <v>90</v>
      </c>
      <c r="F11" s="12" t="s">
        <v>100</v>
      </c>
      <c r="G11" s="12" t="s">
        <v>90</v>
      </c>
      <c r="H11" s="12" t="s">
        <v>100</v>
      </c>
      <c r="I11" s="12" t="s">
        <v>90</v>
      </c>
    </row>
    <row r="12" spans="1:9" x14ac:dyDescent="0.3">
      <c r="A12" s="2" t="s">
        <v>27</v>
      </c>
      <c r="B12" s="2" t="s">
        <v>28</v>
      </c>
      <c r="C12" s="5" t="s">
        <v>29</v>
      </c>
      <c r="D12" s="13" t="s">
        <v>90</v>
      </c>
      <c r="E12" s="13" t="s">
        <v>90</v>
      </c>
      <c r="F12" s="13" t="s">
        <v>90</v>
      </c>
      <c r="G12" s="13" t="s">
        <v>90</v>
      </c>
      <c r="H12" s="11" t="s">
        <v>90</v>
      </c>
      <c r="I12" s="13" t="s">
        <v>90</v>
      </c>
    </row>
    <row r="13" spans="1:9" ht="43.2" x14ac:dyDescent="0.3">
      <c r="A13" s="2" t="s">
        <v>30</v>
      </c>
      <c r="B13" s="2" t="s">
        <v>31</v>
      </c>
      <c r="C13" s="5" t="s">
        <v>32</v>
      </c>
      <c r="D13" s="13" t="s">
        <v>90</v>
      </c>
      <c r="E13" s="13" t="s">
        <v>90</v>
      </c>
      <c r="F13" s="13" t="s">
        <v>90</v>
      </c>
      <c r="G13" s="13" t="s">
        <v>90</v>
      </c>
      <c r="H13" s="11" t="s">
        <v>90</v>
      </c>
      <c r="I13" s="13" t="s">
        <v>90</v>
      </c>
    </row>
    <row r="14" spans="1:9" x14ac:dyDescent="0.3">
      <c r="A14" s="2" t="s">
        <v>33</v>
      </c>
      <c r="B14" s="2" t="s">
        <v>34</v>
      </c>
      <c r="C14" s="5" t="s">
        <v>35</v>
      </c>
      <c r="D14" s="13" t="s">
        <v>90</v>
      </c>
      <c r="E14" s="13" t="s">
        <v>90</v>
      </c>
      <c r="F14" s="13" t="s">
        <v>90</v>
      </c>
      <c r="G14" s="13" t="s">
        <v>90</v>
      </c>
      <c r="H14" s="11" t="s">
        <v>90</v>
      </c>
      <c r="I14" s="16" t="s">
        <v>90</v>
      </c>
    </row>
    <row r="15" spans="1:9" x14ac:dyDescent="0.3">
      <c r="A15" s="2" t="s">
        <v>36</v>
      </c>
      <c r="B15" s="2" t="s">
        <v>37</v>
      </c>
      <c r="C15" s="5" t="s">
        <v>38</v>
      </c>
      <c r="D15" s="13" t="s">
        <v>90</v>
      </c>
      <c r="E15" s="15" t="s">
        <v>104</v>
      </c>
      <c r="F15" s="13" t="s">
        <v>90</v>
      </c>
      <c r="G15" s="13" t="s">
        <v>90</v>
      </c>
      <c r="H15" s="11" t="s">
        <v>90</v>
      </c>
      <c r="I15" s="15" t="s">
        <v>90</v>
      </c>
    </row>
    <row r="16" spans="1:9" x14ac:dyDescent="0.3">
      <c r="A16" s="2" t="s">
        <v>39</v>
      </c>
      <c r="B16" s="2" t="s">
        <v>40</v>
      </c>
      <c r="C16" s="5" t="s">
        <v>41</v>
      </c>
      <c r="D16" s="13" t="s">
        <v>90</v>
      </c>
      <c r="E16" s="13" t="s">
        <v>90</v>
      </c>
      <c r="F16" s="13" t="s">
        <v>90</v>
      </c>
      <c r="G16" s="13" t="s">
        <v>90</v>
      </c>
      <c r="H16" s="11" t="s">
        <v>90</v>
      </c>
      <c r="I16" s="13" t="s">
        <v>90</v>
      </c>
    </row>
    <row r="17" spans="1:9" ht="28.8" x14ac:dyDescent="0.3">
      <c r="A17" s="9" t="s">
        <v>42</v>
      </c>
      <c r="B17" s="9" t="s">
        <v>43</v>
      </c>
      <c r="C17" s="10" t="s">
        <v>44</v>
      </c>
      <c r="D17" s="12" t="s">
        <v>100</v>
      </c>
      <c r="E17" s="12" t="s">
        <v>90</v>
      </c>
      <c r="F17" s="12" t="s">
        <v>100</v>
      </c>
      <c r="G17" s="12" t="s">
        <v>90</v>
      </c>
      <c r="H17" s="12" t="s">
        <v>100</v>
      </c>
      <c r="I17" s="12" t="s">
        <v>90</v>
      </c>
    </row>
    <row r="18" spans="1:9" ht="43.2" x14ac:dyDescent="0.3">
      <c r="A18" s="2" t="s">
        <v>45</v>
      </c>
      <c r="B18" s="2" t="s">
        <v>46</v>
      </c>
      <c r="C18" s="5" t="s">
        <v>85</v>
      </c>
      <c r="D18" s="13" t="s">
        <v>90</v>
      </c>
      <c r="E18" s="13" t="s">
        <v>90</v>
      </c>
      <c r="F18" s="13" t="s">
        <v>90</v>
      </c>
      <c r="G18" s="13" t="s">
        <v>90</v>
      </c>
      <c r="H18" s="11" t="s">
        <v>90</v>
      </c>
      <c r="I18" s="13" t="s">
        <v>90</v>
      </c>
    </row>
    <row r="19" spans="1:9" x14ac:dyDescent="0.3">
      <c r="A19" s="2" t="s">
        <v>47</v>
      </c>
      <c r="B19" s="2" t="s">
        <v>48</v>
      </c>
      <c r="C19" s="5" t="s">
        <v>49</v>
      </c>
      <c r="D19" s="13" t="s">
        <v>90</v>
      </c>
      <c r="E19" s="13" t="s">
        <v>90</v>
      </c>
      <c r="F19" s="13" t="s">
        <v>90</v>
      </c>
      <c r="G19" s="13" t="s">
        <v>90</v>
      </c>
      <c r="H19" s="11" t="s">
        <v>90</v>
      </c>
      <c r="I19" s="13" t="s">
        <v>90</v>
      </c>
    </row>
    <row r="20" spans="1:9" x14ac:dyDescent="0.3">
      <c r="A20" s="2" t="s">
        <v>50</v>
      </c>
      <c r="B20" s="2" t="s">
        <v>51</v>
      </c>
      <c r="C20" s="5" t="s">
        <v>52</v>
      </c>
      <c r="D20" s="13" t="s">
        <v>90</v>
      </c>
      <c r="E20" s="15" t="s">
        <v>104</v>
      </c>
      <c r="F20" s="13" t="s">
        <v>90</v>
      </c>
      <c r="G20" s="13" t="s">
        <v>90</v>
      </c>
      <c r="H20" s="11" t="s">
        <v>90</v>
      </c>
      <c r="I20" s="13" t="s">
        <v>90</v>
      </c>
    </row>
    <row r="21" spans="1:9" x14ac:dyDescent="0.3">
      <c r="A21" s="2" t="s">
        <v>53</v>
      </c>
      <c r="B21" s="2" t="s">
        <v>54</v>
      </c>
      <c r="C21" s="5" t="s">
        <v>55</v>
      </c>
      <c r="D21" s="13" t="s">
        <v>90</v>
      </c>
      <c r="E21" s="13" t="s">
        <v>90</v>
      </c>
      <c r="F21" s="13" t="s">
        <v>90</v>
      </c>
      <c r="G21" s="13" t="s">
        <v>90</v>
      </c>
      <c r="H21" s="11" t="s">
        <v>90</v>
      </c>
      <c r="I21" s="13" t="s">
        <v>90</v>
      </c>
    </row>
    <row r="22" spans="1:9" x14ac:dyDescent="0.3">
      <c r="A22" s="9" t="s">
        <v>56</v>
      </c>
      <c r="B22" s="9" t="s">
        <v>57</v>
      </c>
      <c r="C22" s="10" t="s">
        <v>58</v>
      </c>
      <c r="D22" s="12" t="s">
        <v>90</v>
      </c>
      <c r="E22" s="12" t="s">
        <v>90</v>
      </c>
      <c r="F22" s="12" t="s">
        <v>90</v>
      </c>
      <c r="G22" s="12" t="s">
        <v>90</v>
      </c>
      <c r="H22" s="12" t="s">
        <v>90</v>
      </c>
      <c r="I22" s="12" t="s">
        <v>90</v>
      </c>
    </row>
    <row r="23" spans="1:9" x14ac:dyDescent="0.3">
      <c r="A23" s="2" t="s">
        <v>59</v>
      </c>
      <c r="B23" s="2" t="s">
        <v>60</v>
      </c>
      <c r="C23" s="5" t="s">
        <v>61</v>
      </c>
      <c r="D23" s="13" t="s">
        <v>90</v>
      </c>
      <c r="E23" s="13" t="s">
        <v>90</v>
      </c>
      <c r="F23" s="13" t="s">
        <v>90</v>
      </c>
      <c r="G23" s="13" t="s">
        <v>90</v>
      </c>
      <c r="H23" s="11" t="s">
        <v>90</v>
      </c>
      <c r="I23" s="13" t="s">
        <v>90</v>
      </c>
    </row>
    <row r="24" spans="1:9" x14ac:dyDescent="0.3">
      <c r="A24" s="2" t="s">
        <v>62</v>
      </c>
      <c r="B24" s="2" t="s">
        <v>63</v>
      </c>
      <c r="C24" s="5" t="s">
        <v>64</v>
      </c>
      <c r="D24" s="13" t="s">
        <v>90</v>
      </c>
      <c r="E24" s="13" t="s">
        <v>90</v>
      </c>
      <c r="F24" s="13" t="s">
        <v>90</v>
      </c>
      <c r="G24" s="13" t="s">
        <v>90</v>
      </c>
      <c r="H24" s="11" t="s">
        <v>90</v>
      </c>
      <c r="I24" s="13" t="s">
        <v>90</v>
      </c>
    </row>
    <row r="25" spans="1:9" x14ac:dyDescent="0.3">
      <c r="A25" s="2" t="s">
        <v>65</v>
      </c>
      <c r="B25" s="2" t="s">
        <v>66</v>
      </c>
      <c r="C25" s="5" t="s">
        <v>64</v>
      </c>
      <c r="D25" s="13" t="s">
        <v>90</v>
      </c>
      <c r="E25" s="15" t="s">
        <v>104</v>
      </c>
      <c r="F25" s="13" t="s">
        <v>90</v>
      </c>
      <c r="G25" s="13" t="s">
        <v>90</v>
      </c>
      <c r="H25" s="11" t="s">
        <v>90</v>
      </c>
      <c r="I25" s="13" t="s">
        <v>90</v>
      </c>
    </row>
    <row r="26" spans="1:9" x14ac:dyDescent="0.3">
      <c r="A26" s="9" t="s">
        <v>67</v>
      </c>
      <c r="B26" s="9" t="s">
        <v>68</v>
      </c>
      <c r="C26" s="10" t="s">
        <v>64</v>
      </c>
      <c r="D26" s="12" t="s">
        <v>90</v>
      </c>
      <c r="E26" s="12" t="s">
        <v>90</v>
      </c>
      <c r="F26" s="12" t="s">
        <v>107</v>
      </c>
      <c r="G26" s="12" t="s">
        <v>90</v>
      </c>
      <c r="H26" s="12" t="s">
        <v>90</v>
      </c>
      <c r="I26" s="12" t="s">
        <v>90</v>
      </c>
    </row>
    <row r="27" spans="1:9" ht="28.8" x14ac:dyDescent="0.3">
      <c r="A27" s="9" t="s">
        <v>86</v>
      </c>
      <c r="B27" s="9" t="s">
        <v>87</v>
      </c>
      <c r="C27" s="10" t="s">
        <v>88</v>
      </c>
      <c r="D27" s="12" t="s">
        <v>90</v>
      </c>
      <c r="E27" s="12" t="s">
        <v>90</v>
      </c>
      <c r="F27" s="12" t="s">
        <v>90</v>
      </c>
      <c r="G27" s="12" t="s">
        <v>90</v>
      </c>
      <c r="H27" s="12" t="s">
        <v>90</v>
      </c>
      <c r="I27" s="12" t="s">
        <v>90</v>
      </c>
    </row>
    <row r="28" spans="1:9" x14ac:dyDescent="0.3">
      <c r="A28" s="2" t="s">
        <v>80</v>
      </c>
      <c r="B28" s="2" t="s">
        <v>81</v>
      </c>
      <c r="C28" s="5" t="s">
        <v>82</v>
      </c>
      <c r="D28" s="13" t="s">
        <v>90</v>
      </c>
      <c r="E28" s="13" t="s">
        <v>90</v>
      </c>
      <c r="F28" s="13" t="s">
        <v>90</v>
      </c>
      <c r="G28" s="13" t="s">
        <v>90</v>
      </c>
      <c r="H28" s="13" t="s">
        <v>90</v>
      </c>
      <c r="I28" s="13" t="s">
        <v>111</v>
      </c>
    </row>
    <row r="29" spans="1:9" x14ac:dyDescent="0.3">
      <c r="A29" s="2" t="s">
        <v>69</v>
      </c>
      <c r="B29" s="2" t="s">
        <v>70</v>
      </c>
      <c r="C29" s="5" t="s">
        <v>71</v>
      </c>
      <c r="D29" s="13" t="s">
        <v>90</v>
      </c>
      <c r="E29" s="13" t="s">
        <v>102</v>
      </c>
      <c r="F29" s="13" t="s">
        <v>106</v>
      </c>
      <c r="G29" s="13" t="s">
        <v>108</v>
      </c>
      <c r="H29" s="13" t="s">
        <v>90</v>
      </c>
      <c r="I29" s="13" t="s">
        <v>90</v>
      </c>
    </row>
    <row r="30" spans="1:9" x14ac:dyDescent="0.3">
      <c r="A30" s="2" t="s">
        <v>72</v>
      </c>
      <c r="B30" s="2" t="s">
        <v>73</v>
      </c>
      <c r="C30" s="5" t="s">
        <v>71</v>
      </c>
      <c r="D30" s="13" t="s">
        <v>101</v>
      </c>
      <c r="E30" s="13" t="s">
        <v>90</v>
      </c>
      <c r="F30" s="13" t="s">
        <v>90</v>
      </c>
      <c r="G30" s="13" t="s">
        <v>90</v>
      </c>
      <c r="H30" s="13" t="s">
        <v>90</v>
      </c>
      <c r="I30" s="13" t="s">
        <v>112</v>
      </c>
    </row>
    <row r="31" spans="1:9" x14ac:dyDescent="0.3">
      <c r="A31" s="2" t="s">
        <v>74</v>
      </c>
      <c r="B31" s="2" t="s">
        <v>75</v>
      </c>
      <c r="C31" s="5" t="s">
        <v>71</v>
      </c>
      <c r="D31" s="13" t="s">
        <v>90</v>
      </c>
      <c r="E31" s="13" t="s">
        <v>90</v>
      </c>
      <c r="F31" s="13" t="s">
        <v>90</v>
      </c>
      <c r="G31" s="13" t="s">
        <v>109</v>
      </c>
      <c r="H31" s="13" t="s">
        <v>110</v>
      </c>
      <c r="I31" s="13"/>
    </row>
    <row r="32" spans="1:9" x14ac:dyDescent="0.3">
      <c r="A32" s="2" t="s">
        <v>76</v>
      </c>
      <c r="B32" s="2" t="s">
        <v>77</v>
      </c>
      <c r="C32" s="5" t="s">
        <v>71</v>
      </c>
      <c r="D32" s="13" t="s">
        <v>90</v>
      </c>
      <c r="E32" s="13" t="s">
        <v>102</v>
      </c>
      <c r="F32" s="13" t="s">
        <v>90</v>
      </c>
      <c r="G32" s="13" t="s">
        <v>108</v>
      </c>
      <c r="H32" s="11" t="s">
        <v>90</v>
      </c>
      <c r="I32" s="13" t="s">
        <v>113</v>
      </c>
    </row>
    <row r="33" spans="1:9" x14ac:dyDescent="0.3">
      <c r="A33" s="9" t="s">
        <v>78</v>
      </c>
      <c r="B33" s="9" t="s">
        <v>79</v>
      </c>
      <c r="C33" s="10" t="s">
        <v>71</v>
      </c>
      <c r="D33" s="12" t="s">
        <v>90</v>
      </c>
      <c r="E33" s="12" t="s">
        <v>105</v>
      </c>
      <c r="F33" s="12" t="s">
        <v>90</v>
      </c>
      <c r="G33" s="12" t="s">
        <v>105</v>
      </c>
      <c r="H33" s="12" t="s">
        <v>90</v>
      </c>
      <c r="I33" s="12" t="s">
        <v>114</v>
      </c>
    </row>
    <row r="35" spans="1:9" x14ac:dyDescent="0.3">
      <c r="C35" s="7" t="s">
        <v>96</v>
      </c>
      <c r="D35" s="2">
        <f>COUNTA(D2:D33)-COUNTIF(D2:D33,"ok")</f>
        <v>4</v>
      </c>
      <c r="E35" s="2">
        <f t="shared" ref="E35:I35" si="0">COUNTA(E2:E33)-COUNTIF(E2:E33,"ok")</f>
        <v>7</v>
      </c>
      <c r="F35" s="2">
        <f t="shared" si="0"/>
        <v>5</v>
      </c>
      <c r="G35" s="2">
        <f t="shared" si="0"/>
        <v>4</v>
      </c>
      <c r="H35" s="2">
        <f t="shared" si="0"/>
        <v>4</v>
      </c>
      <c r="I35" s="2">
        <f t="shared" si="0"/>
        <v>4</v>
      </c>
    </row>
    <row r="36" spans="1:9" x14ac:dyDescent="0.3">
      <c r="C36" s="7" t="s">
        <v>95</v>
      </c>
      <c r="D36" s="2" t="str">
        <f>_xlfn.CONCAT(ROUND((COUNTIF(D2:D33, "ok") / COUNTA(D2:D33))*100,3), "%")</f>
        <v>87.5%</v>
      </c>
      <c r="E36" s="2" t="str">
        <f t="shared" ref="E36:I36" si="1">_xlfn.CONCAT(ROUND((COUNTIF(E2:E33, "ok") / COUNTA(E2:E33))*100,3), "%")</f>
        <v>78.125%</v>
      </c>
      <c r="F36" s="2" t="str">
        <f t="shared" si="1"/>
        <v>84.375%</v>
      </c>
      <c r="G36" s="2" t="str">
        <f t="shared" si="1"/>
        <v>87.5%</v>
      </c>
      <c r="H36" s="2" t="str">
        <f t="shared" si="1"/>
        <v>87.5%</v>
      </c>
      <c r="I36" s="2" t="str">
        <f t="shared" si="1"/>
        <v>87.097%</v>
      </c>
    </row>
    <row r="38" spans="1:9" x14ac:dyDescent="0.3">
      <c r="C38" s="14" t="s">
        <v>103</v>
      </c>
      <c r="D38" s="2">
        <v>2</v>
      </c>
      <c r="E38" s="2">
        <v>3</v>
      </c>
      <c r="F38" s="2">
        <v>3</v>
      </c>
      <c r="G38" s="2">
        <v>2</v>
      </c>
      <c r="H38" s="2">
        <v>2</v>
      </c>
      <c r="I38" s="2">
        <v>4</v>
      </c>
    </row>
  </sheetData>
  <sortState xmlns:xlrd2="http://schemas.microsoft.com/office/spreadsheetml/2017/richdata2" ref="A2:C36">
    <sortCondition ref="A23:A36"/>
  </sortState>
  <phoneticPr fontId="4" type="noConversion"/>
  <conditionalFormatting sqref="D2:I33">
    <cfRule type="cellIs" dxfId="1" priority="1" operator="equal">
      <formula>"ok"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HEYSE</dc:creator>
  <cp:lastModifiedBy>Elliot HEYSE</cp:lastModifiedBy>
  <dcterms:created xsi:type="dcterms:W3CDTF">2026-07-20T21:41:36Z</dcterms:created>
  <dcterms:modified xsi:type="dcterms:W3CDTF">2026-07-30T06:22:09Z</dcterms:modified>
</cp:coreProperties>
</file>